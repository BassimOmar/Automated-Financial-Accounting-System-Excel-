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B470487FD50F13/Documents/"/>
    </mc:Choice>
  </mc:AlternateContent>
  <xr:revisionPtr revIDLastSave="61" documentId="8_{8254945F-8692-4925-B9A1-41D45029BBA0}" xr6:coauthVersionLast="47" xr6:coauthVersionMax="47" xr10:uidLastSave="{50A2F80D-D337-4C8C-87EF-ACCCFE9563D2}"/>
  <bookViews>
    <workbookView xWindow="-108" yWindow="-108" windowWidth="23256" windowHeight="12456" firstSheet="2" activeTab="5" xr2:uid="{D17C78C9-7B28-4F30-8118-3AFEFF233AAC}"/>
  </bookViews>
  <sheets>
    <sheet name="Chart or Accounts" sheetId="1" r:id="rId1"/>
    <sheet name="Journal" sheetId="2" r:id="rId2"/>
    <sheet name="General Ledger" sheetId="3" r:id="rId3"/>
    <sheet name="Trial Balance" sheetId="4" r:id="rId4"/>
    <sheet name="Income Statement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4" l="1"/>
  <c r="C15" i="4"/>
  <c r="D3" i="4"/>
  <c r="D4" i="4"/>
  <c r="D5" i="4"/>
  <c r="D6" i="4"/>
  <c r="D7" i="4"/>
  <c r="D8" i="4"/>
  <c r="D9" i="4"/>
  <c r="D10" i="4"/>
  <c r="D11" i="4"/>
  <c r="D12" i="4"/>
  <c r="D13" i="4"/>
  <c r="D1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2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B2" i="3"/>
  <c r="B3" i="3"/>
  <c r="B4" i="3"/>
  <c r="B5" i="3"/>
  <c r="B6" i="3"/>
  <c r="B7" i="3"/>
  <c r="B8" i="3"/>
  <c r="B9" i="3"/>
  <c r="B10" i="3"/>
  <c r="B11" i="3"/>
  <c r="B11" i="4" s="1"/>
  <c r="B12" i="3"/>
  <c r="B13" i="3"/>
  <c r="B14" i="3"/>
  <c r="C25" i="2"/>
  <c r="C24" i="2"/>
  <c r="C22" i="2"/>
  <c r="C21" i="2"/>
  <c r="C18" i="2"/>
  <c r="C17" i="2"/>
  <c r="C15" i="2"/>
  <c r="C14" i="2"/>
  <c r="C12" i="2"/>
  <c r="C11" i="2"/>
  <c r="C8" i="2"/>
  <c r="C6" i="2"/>
  <c r="C7" i="2"/>
  <c r="C4" i="2"/>
  <c r="B14" i="4" l="1"/>
  <c r="B13" i="4"/>
  <c r="A11" i="5" s="1"/>
  <c r="F12" i="3"/>
  <c r="F11" i="3"/>
  <c r="B5" i="4"/>
  <c r="B12" i="4"/>
  <c r="B4" i="4"/>
  <c r="A5" i="6" s="1"/>
  <c r="B3" i="4"/>
  <c r="B2" i="4"/>
  <c r="A3" i="6" s="1"/>
  <c r="F2" i="3"/>
  <c r="F10" i="3"/>
  <c r="B10" i="4"/>
  <c r="A12" i="5"/>
  <c r="B9" i="4"/>
  <c r="B8" i="4"/>
  <c r="B7" i="4"/>
  <c r="A6" i="6"/>
  <c r="B6" i="4"/>
  <c r="A4" i="6"/>
  <c r="A11" i="6"/>
  <c r="A10" i="5"/>
  <c r="A14" i="6"/>
  <c r="F9" i="3"/>
  <c r="F8" i="3"/>
  <c r="F7" i="3"/>
  <c r="F6" i="3"/>
  <c r="F5" i="3"/>
  <c r="F4" i="3"/>
  <c r="F3" i="3"/>
  <c r="F14" i="3"/>
  <c r="F13" i="3"/>
  <c r="A10" i="6" l="1"/>
  <c r="A9" i="6"/>
  <c r="B12" i="5"/>
  <c r="B11" i="6"/>
  <c r="B9" i="5"/>
  <c r="B9" i="6"/>
  <c r="B12" i="6" s="1"/>
  <c r="B10" i="5"/>
  <c r="B14" i="6"/>
  <c r="B4" i="5"/>
  <c r="B6" i="5" s="1"/>
  <c r="B4" i="6"/>
  <c r="B11" i="5"/>
  <c r="B5" i="6"/>
  <c r="B6" i="6"/>
  <c r="B14" i="5" l="1"/>
  <c r="B16" i="5"/>
  <c r="B15" i="6" s="1"/>
  <c r="B16" i="6" s="1"/>
  <c r="B18" i="6" s="1"/>
  <c r="B3" i="6"/>
  <c r="B7" i="6" s="1"/>
  <c r="A20" i="6" l="1"/>
</calcChain>
</file>

<file path=xl/sharedStrings.xml><?xml version="1.0" encoding="utf-8"?>
<sst xmlns="http://schemas.openxmlformats.org/spreadsheetml/2006/main" count="114" uniqueCount="59">
  <si>
    <t>Date</t>
  </si>
  <si>
    <t>Entry ID</t>
  </si>
  <si>
    <t>Account Name</t>
  </si>
  <si>
    <t>Description</t>
  </si>
  <si>
    <t>Debit</t>
  </si>
  <si>
    <t>Credit</t>
  </si>
  <si>
    <t>Cash</t>
  </si>
  <si>
    <t>Account Type</t>
  </si>
  <si>
    <t>Account No</t>
  </si>
  <si>
    <t>Assets</t>
  </si>
  <si>
    <t>Office Equipments</t>
  </si>
  <si>
    <t>Accounts Receivable</t>
  </si>
  <si>
    <t>Liabilities</t>
  </si>
  <si>
    <t>Accounts Payable</t>
  </si>
  <si>
    <t>Salaries Payable</t>
  </si>
  <si>
    <t>Prepaid Insurance</t>
  </si>
  <si>
    <t>Equity</t>
  </si>
  <si>
    <t>Owner's Capital</t>
  </si>
  <si>
    <t>Revenue</t>
  </si>
  <si>
    <t>Service Revenue</t>
  </si>
  <si>
    <t>Unearned Revenue</t>
  </si>
  <si>
    <t>Expense</t>
  </si>
  <si>
    <t>Rent Expense</t>
  </si>
  <si>
    <t>Salaries Expense</t>
  </si>
  <si>
    <t>Normal Balance</t>
  </si>
  <si>
    <t>Liability</t>
  </si>
  <si>
    <t>Office Supplies Expenses</t>
  </si>
  <si>
    <t>Insurance Expense</t>
  </si>
  <si>
    <t xml:space="preserve">Account Name </t>
  </si>
  <si>
    <t>Initial owner investment</t>
  </si>
  <si>
    <t>Paid office rent for August</t>
  </si>
  <si>
    <t>Purchased IT hardware on credit</t>
  </si>
  <si>
    <t>Purchased Office Supplies</t>
  </si>
  <si>
    <t>Receive Payment for IT consulting</t>
  </si>
  <si>
    <t>Paid 1-year Insurance Premium</t>
  </si>
  <si>
    <t>Billed Client for Software development</t>
  </si>
  <si>
    <t>Collected partial payment from client</t>
  </si>
  <si>
    <t>Paid vendor towards equipment debt</t>
  </si>
  <si>
    <t>Advanced payment for future project</t>
  </si>
  <si>
    <t>Paid staff monthly salaries</t>
  </si>
  <si>
    <t>Record August insurance adjustment</t>
  </si>
  <si>
    <t>Total Debits</t>
  </si>
  <si>
    <t>Total Credits</t>
  </si>
  <si>
    <t>Balance</t>
  </si>
  <si>
    <t>Total Balance</t>
  </si>
  <si>
    <t>Line Item</t>
  </si>
  <si>
    <t>Total Revenue</t>
  </si>
  <si>
    <t>Revenues</t>
  </si>
  <si>
    <t>Operating Expenses</t>
  </si>
  <si>
    <t>Total Expenses</t>
  </si>
  <si>
    <t>Net Income</t>
  </si>
  <si>
    <t>Income Statement of Aug 2026</t>
  </si>
  <si>
    <t>Balance Sheet of Aug 2026</t>
  </si>
  <si>
    <t>Total Assets</t>
  </si>
  <si>
    <t>Total Liabilities</t>
  </si>
  <si>
    <t>Total Equity</t>
  </si>
  <si>
    <t>Retained Earnings</t>
  </si>
  <si>
    <t>Total Liabilities &amp; Equities</t>
  </si>
  <si>
    <t>Amount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</si>
</sst>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1" applyNumberFormat="1" applyFont="1"/>
    <xf numFmtId="14" fontId="2" fillId="0" borderId="0" xfId="0" applyNumberFormat="1" applyFont="1"/>
    <xf numFmtId="164" fontId="2" fillId="0" borderId="0" xfId="1" applyNumberFormat="1" applyFont="1"/>
    <xf numFmtId="0" fontId="2" fillId="2" borderId="0" xfId="0" applyFont="1" applyFill="1"/>
    <xf numFmtId="0" fontId="2" fillId="0" borderId="0" xfId="0" applyFont="1" applyAlignment="1">
      <alignment horizontal="left" indent="10"/>
    </xf>
    <xf numFmtId="0" fontId="2" fillId="3" borderId="0" xfId="0" applyFont="1" applyFill="1" applyAlignment="1">
      <alignment horizontal="left" indent="4"/>
    </xf>
    <xf numFmtId="0" fontId="2" fillId="3" borderId="0" xfId="0" applyFont="1" applyFill="1"/>
    <xf numFmtId="0" fontId="0" fillId="3" borderId="0" xfId="0" applyFill="1"/>
    <xf numFmtId="164" fontId="2" fillId="4" borderId="0" xfId="1" applyNumberFormat="1" applyFont="1" applyFill="1"/>
    <xf numFmtId="0" fontId="2" fillId="4" borderId="0" xfId="0" applyFont="1" applyFill="1" applyAlignment="1">
      <alignment horizontal="left" indent="5"/>
    </xf>
    <xf numFmtId="0" fontId="2" fillId="3" borderId="0" xfId="0" applyFont="1" applyFill="1" applyAlignment="1">
      <alignment horizontal="left" indent="5"/>
    </xf>
  </cellXfs>
  <cellStyles count="2">
    <cellStyle name="Currency" xfId="1" builtinId="4"/>
    <cellStyle name="Normal" xfId="0" builtinId="0"/>
  </cellStyles>
  <dxfs count="32">
    <dxf>
      <font>
        <b/>
      </font>
      <numFmt numFmtId="164" formatCode="_(&quot;$&quot;* #,##0_);_(&quot;$&quot;* \(#,##0\);_(&quot;$&quot;* &quot;-&quot;??_);_(@_)"/>
    </dxf>
    <dxf>
      <font>
        <b/>
      </font>
      <numFmt numFmtId="164" formatCode="_(&quot;$&quot;* #,##0_);_(&quot;$&quot;* \(#,##0\);_(&quot;$&quot;* &quot;-&quot;??_);_(@_)"/>
    </dxf>
    <dxf>
      <font>
        <b/>
      </font>
      <numFmt numFmtId="164" formatCode="_(&quot;$&quot;* #,##0_);_(&quot;$&quot;* \(#,##0\);_(&quot;$&quot;* &quot;-&quot;??_);_(@_)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  <numFmt numFmtId="164" formatCode="_(&quot;$&quot;* #,##0_);_(&quot;$&quot;* \(#,##0\);_(&quot;$&quot;* &quot;-&quot;??_);_(@_)"/>
    </dxf>
    <dxf>
      <numFmt numFmtId="0" formatCode="General"/>
    </dxf>
    <dxf>
      <numFmt numFmtId="164" formatCode="_(&quot;$&quot;* #,##0_);_(&quot;$&quot;* \(#,##0\);_(&quot;$&quot;* &quot;-&quot;??_);_(@_)"/>
    </dxf>
    <dxf>
      <font>
        <b/>
      </font>
    </dxf>
    <dxf>
      <font>
        <b/>
      </font>
      <numFmt numFmtId="164" formatCode="_(&quot;$&quot;* #,##0_);_(&quot;$&quot;* \(#,##0\);_(&quot;$&quot;* &quot;-&quot;??_);_(@_)"/>
    </dxf>
    <dxf>
      <font>
        <b/>
      </font>
      <numFmt numFmtId="164" formatCode="_(&quot;$&quot;* #,##0_);_(&quot;$&quot;* \(#,##0\);_(&quot;$&quot;* &quot;-&quot;??_);_(@_)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164" formatCode="_(&quot;$&quot;* #,##0_);_(&quot;$&quot;* \(#,##0\);_(&quot;$&quot;* &quot;-&quot;??_);_(@_)"/>
    </dxf>
    <dxf>
      <font>
        <b/>
      </font>
      <numFmt numFmtId="164" formatCode="_(&quot;$&quot;* #,##0_);_(&quot;$&quot;* \(#,##0\);_(&quot;$&quot;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2F5F66-4A79-4E9E-91BE-F2C37F27957A}" name="Table2" displayName="Table2" ref="A1:D14" totalsRowShown="0" headerRowDxfId="23" dataDxfId="22">
  <autoFilter ref="A1:D14" xr:uid="{AC2F5F66-4A79-4E9E-91BE-F2C37F27957A}"/>
  <tableColumns count="4">
    <tableColumn id="1" xr3:uid="{81DD45E7-074B-4D4B-9869-2EEBE0305C58}" name="Account No" dataDxfId="21"/>
    <tableColumn id="2" xr3:uid="{D7AA9761-8349-4261-AFD2-CDEEE06122C0}" name="Account Name" dataDxfId="20"/>
    <tableColumn id="3" xr3:uid="{604134B9-BD1B-489A-A7C8-71B6871DC0E2}" name="Account Type" dataDxfId="19"/>
    <tableColumn id="4" xr3:uid="{D93BA43D-60BC-44C6-B575-BD4873FC4B76}" name="Normal Balance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CF7DAF-4494-428F-AF9F-10209405A46C}" name="Table3" displayName="Table3" ref="A1:F25" totalsRowShown="0" headerRowDxfId="31" dataDxfId="30">
  <autoFilter ref="A1:F25" xr:uid="{30CF7DAF-4494-428F-AF9F-10209405A46C}"/>
  <tableColumns count="6">
    <tableColumn id="1" xr3:uid="{7E52954E-05D3-488A-89C0-B3F51D1F989D}" name="Date" dataDxfId="29"/>
    <tableColumn id="2" xr3:uid="{F7FD4D3E-C4BF-4CBF-823D-DEB8CE3C27B5}" name="Entry ID" dataDxfId="28"/>
    <tableColumn id="3" xr3:uid="{1C201570-5A5C-4D44-9B4B-AA8888684A80}" name="Account Name " dataDxfId="27"/>
    <tableColumn id="4" xr3:uid="{16F43888-8250-4824-A85A-07F86B6A091F}" name="Description" dataDxfId="26"/>
    <tableColumn id="5" xr3:uid="{B26EB9BD-9445-462D-8212-5CEC0723915D}" name="Debit" dataDxfId="25" dataCellStyle="Currency"/>
    <tableColumn id="6" xr3:uid="{44A36B1B-BA8F-444B-A68D-584E2D84F17A}" name="Credit" dataDxfId="24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34B908-0CA9-4FE4-87ED-C41DB77342C9}" name="Table4" displayName="Table4" ref="A1:F14" totalsRowShown="0" headerRowDxfId="7" dataDxfId="6">
  <autoFilter ref="A1:F14" xr:uid="{2D34B908-0CA9-4FE4-87ED-C41DB77342C9}"/>
  <tableColumns count="6">
    <tableColumn id="1" xr3:uid="{CA283C2E-55C7-41C4-AF1A-7CD06F358C98}" name="Account No" dataDxfId="5">
      <calculatedColumnFormula>VLOOKUP(A2,Table2[Account No],7)</calculatedColumnFormula>
    </tableColumn>
    <tableColumn id="2" xr3:uid="{600F224E-15E4-4143-AFA9-065FD350C9A1}" name="Account Name" dataDxfId="4">
      <calculatedColumnFormula>_xlfn.XLOOKUP(Table4[[#This Row],[Account No]],Table2[Account No],Table2[Account Name],"Not Found")</calculatedColumnFormula>
    </tableColumn>
    <tableColumn id="3" xr3:uid="{E101BFF0-6676-4F29-8BB6-B4B28DB61022}" name="Account Type" dataDxfId="3">
      <calculatedColumnFormula>_xlfn.XLOOKUP(Table4[[#This Row],[Account No]],Table2[Account No],Table2[Account Type],"Not Found")</calculatedColumnFormula>
    </tableColumn>
    <tableColumn id="4" xr3:uid="{D0372598-7CDF-4F6A-B921-56A2424BF00E}" name="Total Debits" dataDxfId="1" dataCellStyle="Currency">
      <calculatedColumnFormula>SUMIFS(Journal!E:E,Journal!C:C,Table4[[#This Row],[Account Name]])</calculatedColumnFormula>
    </tableColumn>
    <tableColumn id="5" xr3:uid="{8918EA7A-C5F5-41DA-8664-5B30A0F3FFC5}" name="Total Credits" dataDxfId="0" dataCellStyle="Currency">
      <calculatedColumnFormula>SUMIFS(Journal!F:F,Journal!C:C,Table4[[#This Row],[Account Name]])</calculatedColumnFormula>
    </tableColumn>
    <tableColumn id="6" xr3:uid="{459045AE-BEE2-4FEC-AD54-DBAE9B2F4A17}" name="Balance" dataDxfId="2" dataCellStyle="Currency">
      <calculatedColumnFormula>IF(OR(C2="Assets", C2="Expense"), D2-E2, E2-D2)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311CA8-04EF-4D02-A9BB-C35630006106}" name="Table5" displayName="Table5" ref="A1:D15" totalsRowShown="0" headerRowDxfId="17" dataDxfId="16">
  <tableColumns count="4">
    <tableColumn id="1" xr3:uid="{42AA2325-A95D-42B2-AEA0-FDDDC268C90A}" name="Account No" dataDxfId="15"/>
    <tableColumn id="2" xr3:uid="{712A0630-C83D-4445-952E-4B1DD2FEFE7D}" name="Account Name " dataDxfId="14"/>
    <tableColumn id="3" xr3:uid="{BD93B358-1CD3-465D-8D65-6082C1877A70}" name="Debit" dataDxfId="13" dataCellStyle="Currency">
      <calculatedColumnFormula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calculatedColumnFormula>
    </tableColumn>
    <tableColumn id="4" xr3:uid="{67BFB380-780F-4109-AA3A-9AA33A7968D8}" name="Credit" dataDxfId="12" dataCellStyle="Currency">
      <calculatedColumnFormula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CFDA55-748D-4089-B7F2-14B61CE018DD}" name="Table6" displayName="Table6" ref="A2:B16" totalsRowShown="0">
  <tableColumns count="2">
    <tableColumn id="1" xr3:uid="{D5F80919-DCBB-4011-A6E9-3FEE0FF03594}" name="Line Item" dataDxfId="11"/>
    <tableColumn id="2" xr3:uid="{707B0806-820B-48FF-B121-D38323CD678D}" name="Amount ($)" dataDxfId="10" dataCellStyle="Currency">
      <calculatedColumnFormula>'Trial Balance'!D9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96010B-F680-4C4A-B90F-64EFBB2DCA9B}" name="Table7" displayName="Table7" ref="A2:B18" totalsRowShown="0">
  <tableColumns count="2">
    <tableColumn id="1" xr3:uid="{1EAC4464-82C6-4CBC-B1E3-DF21124D9850}" name="Assets" dataDxfId="9">
      <calculatedColumnFormula>'Trial Balance'!B1</calculatedColumnFormula>
    </tableColumn>
    <tableColumn id="2" xr3:uid="{23804475-AF35-4163-B2B9-B7A4E7E8476B}" name="Amount ($)" dataDxfId="8" dataCellStyle="Currency">
      <calculatedColumnFormula>'Trial Balance'!C1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F244-F128-4D43-BE21-BCAD885CEB13}">
  <dimension ref="A1:I21"/>
  <sheetViews>
    <sheetView workbookViewId="0">
      <selection activeCell="H7" sqref="H7"/>
    </sheetView>
  </sheetViews>
  <sheetFormatPr defaultRowHeight="14.4" x14ac:dyDescent="0.3"/>
  <cols>
    <col min="1" max="1" width="12.6640625" style="1" bestFit="1" customWidth="1"/>
    <col min="2" max="2" width="22.109375" style="1" bestFit="1" customWidth="1"/>
    <col min="3" max="3" width="14.21875" style="1" bestFit="1" customWidth="1"/>
    <col min="4" max="4" width="16.5546875" style="1" bestFit="1" customWidth="1"/>
    <col min="5" max="6" width="8.88671875" style="1"/>
    <col min="7" max="7" width="14.21875" style="1" bestFit="1" customWidth="1"/>
    <col min="8" max="8" width="22.109375" style="1" bestFit="1" customWidth="1"/>
    <col min="9" max="9" width="20.21875" style="1" bestFit="1" customWidth="1"/>
    <col min="10" max="10" width="12.88671875" style="1" bestFit="1" customWidth="1"/>
    <col min="11" max="11" width="10.33203125" style="1" customWidth="1"/>
    <col min="12" max="12" width="21.109375" style="1" bestFit="1" customWidth="1"/>
    <col min="13" max="13" width="14.21875" style="1" bestFit="1" customWidth="1"/>
    <col min="14" max="14" width="16.5546875" style="1" bestFit="1" customWidth="1"/>
    <col min="15" max="16384" width="8.88671875" style="1"/>
  </cols>
  <sheetData>
    <row r="1" spans="1:4" x14ac:dyDescent="0.3">
      <c r="A1" s="1" t="s">
        <v>8</v>
      </c>
      <c r="B1" s="1" t="s">
        <v>2</v>
      </c>
      <c r="C1" s="1" t="s">
        <v>7</v>
      </c>
      <c r="D1" s="1" t="s">
        <v>24</v>
      </c>
    </row>
    <row r="2" spans="1:4" x14ac:dyDescent="0.3">
      <c r="A2" s="1">
        <v>101</v>
      </c>
      <c r="B2" s="1" t="s">
        <v>6</v>
      </c>
      <c r="C2" s="1" t="s">
        <v>9</v>
      </c>
      <c r="D2" s="1" t="s">
        <v>4</v>
      </c>
    </row>
    <row r="3" spans="1:4" x14ac:dyDescent="0.3">
      <c r="A3" s="1">
        <v>102</v>
      </c>
      <c r="B3" s="1" t="s">
        <v>11</v>
      </c>
      <c r="C3" s="1" t="s">
        <v>9</v>
      </c>
      <c r="D3" s="1" t="s">
        <v>4</v>
      </c>
    </row>
    <row r="4" spans="1:4" x14ac:dyDescent="0.3">
      <c r="A4" s="1">
        <v>103</v>
      </c>
      <c r="B4" s="1" t="s">
        <v>15</v>
      </c>
      <c r="C4" s="1" t="s">
        <v>9</v>
      </c>
      <c r="D4" s="1" t="s">
        <v>4</v>
      </c>
    </row>
    <row r="5" spans="1:4" x14ac:dyDescent="0.3">
      <c r="A5" s="1">
        <v>104</v>
      </c>
      <c r="B5" s="1" t="s">
        <v>10</v>
      </c>
      <c r="C5" s="1" t="s">
        <v>9</v>
      </c>
      <c r="D5" s="1" t="s">
        <v>4</v>
      </c>
    </row>
    <row r="6" spans="1:4" x14ac:dyDescent="0.3">
      <c r="A6" s="1">
        <v>201</v>
      </c>
      <c r="B6" s="1" t="s">
        <v>13</v>
      </c>
      <c r="C6" s="1" t="s">
        <v>25</v>
      </c>
      <c r="D6" s="1" t="s">
        <v>5</v>
      </c>
    </row>
    <row r="7" spans="1:4" x14ac:dyDescent="0.3">
      <c r="A7" s="1">
        <v>202</v>
      </c>
      <c r="B7" s="1" t="s">
        <v>14</v>
      </c>
      <c r="C7" s="1" t="s">
        <v>25</v>
      </c>
      <c r="D7" s="1" t="s">
        <v>5</v>
      </c>
    </row>
    <row r="8" spans="1:4" x14ac:dyDescent="0.3">
      <c r="A8" s="1">
        <v>203</v>
      </c>
      <c r="B8" s="1" t="s">
        <v>20</v>
      </c>
      <c r="C8" s="1" t="s">
        <v>25</v>
      </c>
      <c r="D8" s="1" t="s">
        <v>5</v>
      </c>
    </row>
    <row r="9" spans="1:4" x14ac:dyDescent="0.3">
      <c r="A9" s="1">
        <v>301</v>
      </c>
      <c r="B9" s="1" t="s">
        <v>17</v>
      </c>
      <c r="C9" s="1" t="s">
        <v>16</v>
      </c>
      <c r="D9" s="1" t="s">
        <v>5</v>
      </c>
    </row>
    <row r="10" spans="1:4" x14ac:dyDescent="0.3">
      <c r="A10" s="1">
        <v>401</v>
      </c>
      <c r="B10" s="1" t="s">
        <v>19</v>
      </c>
      <c r="C10" s="1" t="s">
        <v>18</v>
      </c>
      <c r="D10" s="1" t="s">
        <v>5</v>
      </c>
    </row>
    <row r="11" spans="1:4" x14ac:dyDescent="0.3">
      <c r="A11" s="1">
        <v>501</v>
      </c>
      <c r="B11" s="1" t="s">
        <v>22</v>
      </c>
      <c r="C11" s="1" t="s">
        <v>21</v>
      </c>
      <c r="D11" s="1" t="s">
        <v>4</v>
      </c>
    </row>
    <row r="12" spans="1:4" x14ac:dyDescent="0.3">
      <c r="A12" s="1">
        <v>502</v>
      </c>
      <c r="B12" s="1" t="s">
        <v>26</v>
      </c>
      <c r="C12" s="1" t="s">
        <v>21</v>
      </c>
      <c r="D12" s="1" t="s">
        <v>4</v>
      </c>
    </row>
    <row r="13" spans="1:4" x14ac:dyDescent="0.3">
      <c r="A13" s="1">
        <v>503</v>
      </c>
      <c r="B13" s="1" t="s">
        <v>23</v>
      </c>
      <c r="C13" s="1" t="s">
        <v>21</v>
      </c>
      <c r="D13" s="1" t="s">
        <v>4</v>
      </c>
    </row>
    <row r="14" spans="1:4" x14ac:dyDescent="0.3">
      <c r="A14" s="1">
        <v>504</v>
      </c>
      <c r="B14" s="1" t="s">
        <v>27</v>
      </c>
      <c r="C14" s="1" t="s">
        <v>21</v>
      </c>
      <c r="D14" s="1" t="s">
        <v>4</v>
      </c>
    </row>
    <row r="21" spans="7:9" x14ac:dyDescent="0.3">
      <c r="G21" s="5"/>
      <c r="H21" s="5"/>
      <c r="I2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79AD-B9D6-49E8-9034-6DC15EABF515}">
  <dimension ref="A1:F25"/>
  <sheetViews>
    <sheetView workbookViewId="0"/>
  </sheetViews>
  <sheetFormatPr defaultRowHeight="14.4" x14ac:dyDescent="0.3"/>
  <cols>
    <col min="1" max="1" width="10.33203125" style="1" customWidth="1"/>
    <col min="2" max="2" width="9.5546875" style="1" bestFit="1" customWidth="1"/>
    <col min="3" max="3" width="21.109375" style="1" bestFit="1" customWidth="1"/>
    <col min="4" max="4" width="33.33203125" style="1" bestFit="1" customWidth="1"/>
    <col min="5" max="5" width="8.88671875" style="1"/>
    <col min="6" max="6" width="8.88671875" style="1" bestFit="1" customWidth="1"/>
    <col min="7" max="7" width="31.6640625" style="1" bestFit="1" customWidth="1"/>
    <col min="8" max="16384" width="8.88671875" style="1"/>
  </cols>
  <sheetData>
    <row r="1" spans="1:6" x14ac:dyDescent="0.3">
      <c r="A1" s="1" t="s">
        <v>0</v>
      </c>
      <c r="B1" s="1" t="s">
        <v>1</v>
      </c>
      <c r="C1" s="1" t="s">
        <v>28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46235</v>
      </c>
      <c r="B2" s="1">
        <v>1</v>
      </c>
      <c r="C2" s="1" t="s">
        <v>6</v>
      </c>
      <c r="D2" s="1" t="s">
        <v>29</v>
      </c>
      <c r="E2" s="4">
        <v>10000</v>
      </c>
      <c r="F2" s="4">
        <v>0</v>
      </c>
    </row>
    <row r="3" spans="1:6" x14ac:dyDescent="0.3">
      <c r="A3" s="3">
        <v>46235</v>
      </c>
      <c r="B3" s="1">
        <v>1</v>
      </c>
      <c r="C3" s="1" t="s">
        <v>17</v>
      </c>
      <c r="D3" s="1" t="s">
        <v>29</v>
      </c>
      <c r="E3" s="4">
        <v>0</v>
      </c>
      <c r="F3" s="4">
        <v>10000</v>
      </c>
    </row>
    <row r="4" spans="1:6" x14ac:dyDescent="0.3">
      <c r="A4" s="3">
        <v>46236</v>
      </c>
      <c r="B4" s="1">
        <v>2</v>
      </c>
      <c r="C4" s="1" t="str">
        <f>'Chart or Accounts'!B11</f>
        <v>Rent Expense</v>
      </c>
      <c r="D4" s="1" t="s">
        <v>30</v>
      </c>
      <c r="E4" s="4">
        <v>1200</v>
      </c>
      <c r="F4" s="4">
        <v>0</v>
      </c>
    </row>
    <row r="5" spans="1:6" x14ac:dyDescent="0.3">
      <c r="A5" s="3">
        <v>46236</v>
      </c>
      <c r="B5" s="1">
        <v>2</v>
      </c>
      <c r="C5" s="1" t="s">
        <v>6</v>
      </c>
      <c r="D5" s="1" t="s">
        <v>30</v>
      </c>
      <c r="E5" s="4">
        <v>0</v>
      </c>
      <c r="F5" s="4">
        <v>1200</v>
      </c>
    </row>
    <row r="6" spans="1:6" x14ac:dyDescent="0.3">
      <c r="A6" s="3">
        <v>46238</v>
      </c>
      <c r="B6" s="1">
        <v>3</v>
      </c>
      <c r="C6" s="1" t="str">
        <f>'Chart or Accounts'!B5</f>
        <v>Office Equipments</v>
      </c>
      <c r="D6" s="1" t="s">
        <v>31</v>
      </c>
      <c r="E6" s="4">
        <v>3500</v>
      </c>
      <c r="F6" s="4">
        <v>0</v>
      </c>
    </row>
    <row r="7" spans="1:6" x14ac:dyDescent="0.3">
      <c r="A7" s="3">
        <v>46238</v>
      </c>
      <c r="B7" s="1">
        <v>3</v>
      </c>
      <c r="C7" s="1" t="str">
        <f>'Chart or Accounts'!B6</f>
        <v>Accounts Payable</v>
      </c>
      <c r="D7" s="1" t="s">
        <v>31</v>
      </c>
      <c r="E7" s="4">
        <v>0</v>
      </c>
      <c r="F7" s="4">
        <v>3500</v>
      </c>
    </row>
    <row r="8" spans="1:6" x14ac:dyDescent="0.3">
      <c r="A8" s="3">
        <v>46240</v>
      </c>
      <c r="B8" s="1">
        <v>4</v>
      </c>
      <c r="C8" s="1" t="str">
        <f>'Chart or Accounts'!B12</f>
        <v>Office Supplies Expenses</v>
      </c>
      <c r="D8" s="1" t="s">
        <v>32</v>
      </c>
      <c r="E8" s="4">
        <v>300</v>
      </c>
      <c r="F8" s="4">
        <v>0</v>
      </c>
    </row>
    <row r="9" spans="1:6" x14ac:dyDescent="0.3">
      <c r="A9" s="3">
        <v>46240</v>
      </c>
      <c r="B9" s="1">
        <v>4</v>
      </c>
      <c r="C9" s="1" t="s">
        <v>6</v>
      </c>
      <c r="D9" s="1" t="s">
        <v>32</v>
      </c>
      <c r="E9" s="4">
        <v>0</v>
      </c>
      <c r="F9" s="4">
        <v>300</v>
      </c>
    </row>
    <row r="10" spans="1:6" x14ac:dyDescent="0.3">
      <c r="A10" s="3">
        <v>46244</v>
      </c>
      <c r="B10" s="1">
        <v>5</v>
      </c>
      <c r="C10" s="1" t="s">
        <v>6</v>
      </c>
      <c r="D10" s="1" t="s">
        <v>33</v>
      </c>
      <c r="E10" s="4">
        <v>4500</v>
      </c>
      <c r="F10" s="4">
        <v>0</v>
      </c>
    </row>
    <row r="11" spans="1:6" x14ac:dyDescent="0.3">
      <c r="A11" s="3">
        <v>46244</v>
      </c>
      <c r="B11" s="1">
        <v>5</v>
      </c>
      <c r="C11" s="1" t="str">
        <f>'Chart or Accounts'!B10</f>
        <v>Service Revenue</v>
      </c>
      <c r="D11" s="1" t="s">
        <v>33</v>
      </c>
      <c r="E11" s="4">
        <v>0</v>
      </c>
      <c r="F11" s="4">
        <v>4500</v>
      </c>
    </row>
    <row r="12" spans="1:6" x14ac:dyDescent="0.3">
      <c r="A12" s="3">
        <v>46246</v>
      </c>
      <c r="B12" s="1">
        <v>6</v>
      </c>
      <c r="C12" s="1" t="str">
        <f>'Chart or Accounts'!B4</f>
        <v>Prepaid Insurance</v>
      </c>
      <c r="D12" s="1" t="s">
        <v>34</v>
      </c>
      <c r="E12" s="4">
        <v>1200</v>
      </c>
      <c r="F12" s="4">
        <v>0</v>
      </c>
    </row>
    <row r="13" spans="1:6" x14ac:dyDescent="0.3">
      <c r="A13" s="3">
        <v>46246</v>
      </c>
      <c r="B13" s="1">
        <v>6</v>
      </c>
      <c r="C13" s="1" t="s">
        <v>6</v>
      </c>
      <c r="D13" s="1" t="s">
        <v>34</v>
      </c>
      <c r="E13" s="4">
        <v>0</v>
      </c>
      <c r="F13" s="4">
        <v>1200</v>
      </c>
    </row>
    <row r="14" spans="1:6" x14ac:dyDescent="0.3">
      <c r="A14" s="3">
        <v>46249</v>
      </c>
      <c r="B14" s="1">
        <v>7</v>
      </c>
      <c r="C14" s="1" t="str">
        <f>'Chart or Accounts'!B3</f>
        <v>Accounts Receivable</v>
      </c>
      <c r="D14" s="1" t="s">
        <v>35</v>
      </c>
      <c r="E14" s="4">
        <v>3000</v>
      </c>
      <c r="F14" s="4">
        <v>0</v>
      </c>
    </row>
    <row r="15" spans="1:6" x14ac:dyDescent="0.3">
      <c r="A15" s="3">
        <v>46249</v>
      </c>
      <c r="B15" s="1">
        <v>7</v>
      </c>
      <c r="C15" s="1" t="str">
        <f>'Chart or Accounts'!B10</f>
        <v>Service Revenue</v>
      </c>
      <c r="D15" s="1" t="s">
        <v>35</v>
      </c>
      <c r="E15" s="4">
        <v>0</v>
      </c>
      <c r="F15" s="4">
        <v>3000</v>
      </c>
    </row>
    <row r="16" spans="1:6" x14ac:dyDescent="0.3">
      <c r="A16" s="3">
        <v>46252</v>
      </c>
      <c r="B16" s="1">
        <v>8</v>
      </c>
      <c r="C16" s="1" t="s">
        <v>6</v>
      </c>
      <c r="D16" s="1" t="s">
        <v>36</v>
      </c>
      <c r="E16" s="4">
        <v>1500</v>
      </c>
      <c r="F16" s="4">
        <v>0</v>
      </c>
    </row>
    <row r="17" spans="1:6" x14ac:dyDescent="0.3">
      <c r="A17" s="3">
        <v>46252</v>
      </c>
      <c r="B17" s="1">
        <v>8</v>
      </c>
      <c r="C17" s="1" t="str">
        <f>'Chart or Accounts'!B3</f>
        <v>Accounts Receivable</v>
      </c>
      <c r="D17" s="1" t="s">
        <v>36</v>
      </c>
      <c r="E17" s="4">
        <v>0</v>
      </c>
      <c r="F17" s="4">
        <v>1500</v>
      </c>
    </row>
    <row r="18" spans="1:6" x14ac:dyDescent="0.3">
      <c r="A18" s="3">
        <v>46256</v>
      </c>
      <c r="B18" s="1">
        <v>9</v>
      </c>
      <c r="C18" s="1" t="str">
        <f>'Chart or Accounts'!B6</f>
        <v>Accounts Payable</v>
      </c>
      <c r="D18" s="1" t="s">
        <v>37</v>
      </c>
      <c r="E18" s="4">
        <v>1000</v>
      </c>
      <c r="F18" s="4">
        <v>0</v>
      </c>
    </row>
    <row r="19" spans="1:6" x14ac:dyDescent="0.3">
      <c r="A19" s="3">
        <v>46256</v>
      </c>
      <c r="B19" s="1">
        <v>9</v>
      </c>
      <c r="C19" s="1" t="s">
        <v>6</v>
      </c>
      <c r="D19" s="1" t="s">
        <v>37</v>
      </c>
      <c r="E19" s="4">
        <v>0</v>
      </c>
      <c r="F19" s="4">
        <v>1000</v>
      </c>
    </row>
    <row r="20" spans="1:6" x14ac:dyDescent="0.3">
      <c r="A20" s="3">
        <v>46259</v>
      </c>
      <c r="B20" s="1">
        <v>10</v>
      </c>
      <c r="C20" s="1" t="s">
        <v>6</v>
      </c>
      <c r="D20" s="1" t="s">
        <v>38</v>
      </c>
      <c r="E20" s="4">
        <v>2000</v>
      </c>
      <c r="F20" s="4">
        <v>0</v>
      </c>
    </row>
    <row r="21" spans="1:6" x14ac:dyDescent="0.3">
      <c r="A21" s="3">
        <v>46259</v>
      </c>
      <c r="B21" s="1">
        <v>10</v>
      </c>
      <c r="C21" s="1" t="str">
        <f>'Chart or Accounts'!B8</f>
        <v>Unearned Revenue</v>
      </c>
      <c r="D21" s="1" t="s">
        <v>38</v>
      </c>
      <c r="E21" s="4">
        <v>0</v>
      </c>
      <c r="F21" s="4">
        <v>2000</v>
      </c>
    </row>
    <row r="22" spans="1:6" x14ac:dyDescent="0.3">
      <c r="A22" s="3">
        <v>46262</v>
      </c>
      <c r="B22" s="1">
        <v>11</v>
      </c>
      <c r="C22" s="1" t="str">
        <f>'Chart or Accounts'!B13</f>
        <v>Salaries Expense</v>
      </c>
      <c r="D22" s="1" t="s">
        <v>39</v>
      </c>
      <c r="E22" s="4">
        <v>1800</v>
      </c>
      <c r="F22" s="4">
        <v>0</v>
      </c>
    </row>
    <row r="23" spans="1:6" x14ac:dyDescent="0.3">
      <c r="A23" s="3">
        <v>46262</v>
      </c>
      <c r="B23" s="1">
        <v>11</v>
      </c>
      <c r="C23" s="1" t="s">
        <v>6</v>
      </c>
      <c r="D23" s="1" t="s">
        <v>39</v>
      </c>
      <c r="E23" s="4">
        <v>0</v>
      </c>
      <c r="F23" s="4">
        <v>1800</v>
      </c>
    </row>
    <row r="24" spans="1:6" x14ac:dyDescent="0.3">
      <c r="A24" s="3">
        <v>46265</v>
      </c>
      <c r="B24" s="1">
        <v>12</v>
      </c>
      <c r="C24" s="1" t="str">
        <f>'Chart or Accounts'!B14</f>
        <v>Insurance Expense</v>
      </c>
      <c r="D24" s="1" t="s">
        <v>40</v>
      </c>
      <c r="E24" s="4">
        <v>100</v>
      </c>
      <c r="F24" s="4">
        <v>0</v>
      </c>
    </row>
    <row r="25" spans="1:6" x14ac:dyDescent="0.3">
      <c r="A25" s="3">
        <v>46265</v>
      </c>
      <c r="B25" s="1">
        <v>12</v>
      </c>
      <c r="C25" s="1" t="str">
        <f>'Chart or Accounts'!B4</f>
        <v>Prepaid Insurance</v>
      </c>
      <c r="D25" s="1" t="s">
        <v>40</v>
      </c>
      <c r="E25" s="4">
        <v>0</v>
      </c>
      <c r="F25" s="4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B0E4-9800-41E7-91AB-1506AD83A82A}">
  <dimension ref="A1:J15"/>
  <sheetViews>
    <sheetView workbookViewId="0">
      <selection activeCell="E25" sqref="E25"/>
    </sheetView>
  </sheetViews>
  <sheetFormatPr defaultRowHeight="14.4" x14ac:dyDescent="0.3"/>
  <cols>
    <col min="1" max="1" width="12.6640625" style="1" bestFit="1" customWidth="1"/>
    <col min="2" max="2" width="21.109375" style="1" bestFit="1" customWidth="1"/>
    <col min="3" max="3" width="14.21875" style="1" bestFit="1" customWidth="1"/>
    <col min="4" max="4" width="14.44140625" style="1" bestFit="1" customWidth="1"/>
    <col min="5" max="5" width="15.109375" style="1" bestFit="1" customWidth="1"/>
    <col min="6" max="6" width="11.21875" style="1" bestFit="1" customWidth="1"/>
    <col min="7" max="7" width="12" style="1" bestFit="1" customWidth="1"/>
    <col min="8" max="8" width="11.44140625" style="4" bestFit="1" customWidth="1"/>
    <col min="9" max="9" width="11.6640625" style="4" bestFit="1" customWidth="1"/>
    <col min="10" max="10" width="11.44140625" style="4" bestFit="1" customWidth="1"/>
    <col min="11" max="16384" width="8.88671875" style="1"/>
  </cols>
  <sheetData>
    <row r="1" spans="1:6" x14ac:dyDescent="0.3">
      <c r="A1" s="1" t="s">
        <v>8</v>
      </c>
      <c r="B1" s="1" t="s">
        <v>2</v>
      </c>
      <c r="C1" s="1" t="s">
        <v>7</v>
      </c>
      <c r="D1" s="4" t="s">
        <v>41</v>
      </c>
      <c r="E1" s="4" t="s">
        <v>42</v>
      </c>
      <c r="F1" s="4" t="s">
        <v>43</v>
      </c>
    </row>
    <row r="2" spans="1:6" x14ac:dyDescent="0.3">
      <c r="A2" s="1">
        <v>101</v>
      </c>
      <c r="B2" s="1" t="str">
        <f>_xlfn.XLOOKUP(Table4[[#This Row],[Account No]],Table2[Account No],Table2[Account Name],"Not Found")</f>
        <v>Cash</v>
      </c>
      <c r="C2" s="1" t="str">
        <f>_xlfn.XLOOKUP(Table4[[#This Row],[Account No]],Table2[Account No],Table2[Account Type],"Not Found")</f>
        <v>Assets</v>
      </c>
      <c r="D2" s="4">
        <f>SUMIFS(Journal!E:E,Journal!C:C,Table4[[#This Row],[Account Name]])</f>
        <v>18000</v>
      </c>
      <c r="E2" s="4">
        <f>SUMIFS(Journal!F:F,Journal!C:C,Table4[[#This Row],[Account Name]])</f>
        <v>5500</v>
      </c>
      <c r="F2" s="4">
        <f t="shared" ref="F2:F14" si="0">IF(OR(C2="Assets", C2="Expense"), D2-E2, E2-D2)</f>
        <v>12500</v>
      </c>
    </row>
    <row r="3" spans="1:6" x14ac:dyDescent="0.3">
      <c r="A3" s="1">
        <v>102</v>
      </c>
      <c r="B3" s="1" t="str">
        <f>_xlfn.XLOOKUP(Table4[[#This Row],[Account No]],Table2[Account No],Table2[Account Name],"Not Found")</f>
        <v>Accounts Receivable</v>
      </c>
      <c r="C3" s="1" t="str">
        <f>_xlfn.XLOOKUP(Table4[[#This Row],[Account No]],Table2[Account No],Table2[Account Type],"Not Found")</f>
        <v>Assets</v>
      </c>
      <c r="D3" s="4">
        <f>SUMIFS(Journal!E:E,Journal!C:C,Table4[[#This Row],[Account Name]])</f>
        <v>3000</v>
      </c>
      <c r="E3" s="4">
        <f>SUMIFS(Journal!F:F,Journal!C:C,Table4[[#This Row],[Account Name]])</f>
        <v>1500</v>
      </c>
      <c r="F3" s="4">
        <f t="shared" si="0"/>
        <v>1500</v>
      </c>
    </row>
    <row r="4" spans="1:6" x14ac:dyDescent="0.3">
      <c r="A4" s="1">
        <v>103</v>
      </c>
      <c r="B4" s="1" t="str">
        <f>_xlfn.XLOOKUP(Table4[[#This Row],[Account No]],Table2[Account No],Table2[Account Name],"Not Found")</f>
        <v>Prepaid Insurance</v>
      </c>
      <c r="C4" s="1" t="str">
        <f>_xlfn.XLOOKUP(Table4[[#This Row],[Account No]],Table2[Account No],Table2[Account Type],"Not Found")</f>
        <v>Assets</v>
      </c>
      <c r="D4" s="4">
        <f>SUMIFS(Journal!E:E,Journal!C:C,Table4[[#This Row],[Account Name]])</f>
        <v>1200</v>
      </c>
      <c r="E4" s="4">
        <f>SUMIFS(Journal!F:F,Journal!C:C,Table4[[#This Row],[Account Name]])</f>
        <v>100</v>
      </c>
      <c r="F4" s="4">
        <f t="shared" si="0"/>
        <v>1100</v>
      </c>
    </row>
    <row r="5" spans="1:6" x14ac:dyDescent="0.3">
      <c r="A5" s="1">
        <v>104</v>
      </c>
      <c r="B5" s="1" t="str">
        <f>_xlfn.XLOOKUP(Table4[[#This Row],[Account No]],Table2[Account No],Table2[Account Name],"Not Found")</f>
        <v>Office Equipments</v>
      </c>
      <c r="C5" s="1" t="str">
        <f>_xlfn.XLOOKUP(Table4[[#This Row],[Account No]],Table2[Account No],Table2[Account Type],"Not Found")</f>
        <v>Assets</v>
      </c>
      <c r="D5" s="4">
        <f>SUMIFS(Journal!E:E,Journal!C:C,Table4[[#This Row],[Account Name]])</f>
        <v>3500</v>
      </c>
      <c r="E5" s="4">
        <f>SUMIFS(Journal!F:F,Journal!C:C,Table4[[#This Row],[Account Name]])</f>
        <v>0</v>
      </c>
      <c r="F5" s="4">
        <f t="shared" si="0"/>
        <v>3500</v>
      </c>
    </row>
    <row r="6" spans="1:6" x14ac:dyDescent="0.3">
      <c r="A6" s="1">
        <v>201</v>
      </c>
      <c r="B6" s="1" t="str">
        <f>_xlfn.XLOOKUP(Table4[[#This Row],[Account No]],Table2[Account No],Table2[Account Name],"Not Found")</f>
        <v>Accounts Payable</v>
      </c>
      <c r="C6" s="1" t="str">
        <f>_xlfn.XLOOKUP(Table4[[#This Row],[Account No]],Table2[Account No],Table2[Account Type],"Not Found")</f>
        <v>Liability</v>
      </c>
      <c r="D6" s="4">
        <f>SUMIFS(Journal!E:E,Journal!C:C,Table4[[#This Row],[Account Name]])</f>
        <v>1000</v>
      </c>
      <c r="E6" s="4">
        <f>SUMIFS(Journal!F:F,Journal!C:C,Table4[[#This Row],[Account Name]])</f>
        <v>3500</v>
      </c>
      <c r="F6" s="4">
        <f t="shared" si="0"/>
        <v>2500</v>
      </c>
    </row>
    <row r="7" spans="1:6" x14ac:dyDescent="0.3">
      <c r="A7" s="1">
        <v>202</v>
      </c>
      <c r="B7" s="1" t="str">
        <f>_xlfn.XLOOKUP(Table4[[#This Row],[Account No]],Table2[Account No],Table2[Account Name],"Not Found")</f>
        <v>Salaries Payable</v>
      </c>
      <c r="C7" s="1" t="str">
        <f>_xlfn.XLOOKUP(Table4[[#This Row],[Account No]],Table2[Account No],Table2[Account Type],"Not Found")</f>
        <v>Liability</v>
      </c>
      <c r="D7" s="4">
        <f>SUMIFS(Journal!E:E,Journal!C:C,Table4[[#This Row],[Account Name]])</f>
        <v>0</v>
      </c>
      <c r="E7" s="4">
        <f>SUMIFS(Journal!F:F,Journal!C:C,Table4[[#This Row],[Account Name]])</f>
        <v>0</v>
      </c>
      <c r="F7" s="4">
        <f t="shared" si="0"/>
        <v>0</v>
      </c>
    </row>
    <row r="8" spans="1:6" x14ac:dyDescent="0.3">
      <c r="A8" s="1">
        <v>203</v>
      </c>
      <c r="B8" s="1" t="str">
        <f>_xlfn.XLOOKUP(Table4[[#This Row],[Account No]],Table2[Account No],Table2[Account Name],"Not Found")</f>
        <v>Unearned Revenue</v>
      </c>
      <c r="C8" s="1" t="str">
        <f>_xlfn.XLOOKUP(Table4[[#This Row],[Account No]],Table2[Account No],Table2[Account Type],"Not Found")</f>
        <v>Liability</v>
      </c>
      <c r="D8" s="4">
        <f>SUMIFS(Journal!E:E,Journal!C:C,Table4[[#This Row],[Account Name]])</f>
        <v>0</v>
      </c>
      <c r="E8" s="4">
        <f>SUMIFS(Journal!F:F,Journal!C:C,Table4[[#This Row],[Account Name]])</f>
        <v>2000</v>
      </c>
      <c r="F8" s="4">
        <f t="shared" si="0"/>
        <v>2000</v>
      </c>
    </row>
    <row r="9" spans="1:6" x14ac:dyDescent="0.3">
      <c r="A9" s="1">
        <v>301</v>
      </c>
      <c r="B9" s="1" t="str">
        <f>_xlfn.XLOOKUP(Table4[[#This Row],[Account No]],Table2[Account No],Table2[Account Name],"Not Found")</f>
        <v>Owner's Capital</v>
      </c>
      <c r="C9" s="1" t="str">
        <f>_xlfn.XLOOKUP(Table4[[#This Row],[Account No]],Table2[Account No],Table2[Account Type],"Not Found")</f>
        <v>Equity</v>
      </c>
      <c r="D9" s="4">
        <f>SUMIFS(Journal!E:E,Journal!C:C,Table4[[#This Row],[Account Name]])</f>
        <v>0</v>
      </c>
      <c r="E9" s="4">
        <f>SUMIFS(Journal!F:F,Journal!C:C,Table4[[#This Row],[Account Name]])</f>
        <v>10000</v>
      </c>
      <c r="F9" s="4">
        <f t="shared" si="0"/>
        <v>10000</v>
      </c>
    </row>
    <row r="10" spans="1:6" x14ac:dyDescent="0.3">
      <c r="A10" s="1">
        <v>401</v>
      </c>
      <c r="B10" s="1" t="str">
        <f>_xlfn.XLOOKUP(Table4[[#This Row],[Account No]],Table2[Account No],Table2[Account Name],"Not Found")</f>
        <v>Service Revenue</v>
      </c>
      <c r="C10" s="1" t="str">
        <f>_xlfn.XLOOKUP(Table4[[#This Row],[Account No]],Table2[Account No],Table2[Account Type],"Not Found")</f>
        <v>Revenue</v>
      </c>
      <c r="D10" s="4">
        <f>SUMIFS(Journal!E:E,Journal!C:C,Table4[[#This Row],[Account Name]])</f>
        <v>0</v>
      </c>
      <c r="E10" s="4">
        <f>SUMIFS(Journal!F:F,Journal!C:C,Table4[[#This Row],[Account Name]])</f>
        <v>7500</v>
      </c>
      <c r="F10" s="4">
        <f t="shared" si="0"/>
        <v>7500</v>
      </c>
    </row>
    <row r="11" spans="1:6" x14ac:dyDescent="0.3">
      <c r="A11" s="1">
        <v>501</v>
      </c>
      <c r="B11" s="1" t="str">
        <f>_xlfn.XLOOKUP(Table4[[#This Row],[Account No]],Table2[Account No],Table2[Account Name],"Not Found")</f>
        <v>Rent Expense</v>
      </c>
      <c r="C11" s="1" t="str">
        <f>_xlfn.XLOOKUP(Table4[[#This Row],[Account No]],Table2[Account No],Table2[Account Type],"Not Found")</f>
        <v>Expense</v>
      </c>
      <c r="D11" s="4">
        <f>SUMIFS(Journal!E:E,Journal!C:C,Table4[[#This Row],[Account Name]])</f>
        <v>1200</v>
      </c>
      <c r="E11" s="4">
        <f>SUMIFS(Journal!F:F,Journal!C:C,Table4[[#This Row],[Account Name]])</f>
        <v>0</v>
      </c>
      <c r="F11" s="4">
        <f t="shared" si="0"/>
        <v>1200</v>
      </c>
    </row>
    <row r="12" spans="1:6" x14ac:dyDescent="0.3">
      <c r="A12" s="1">
        <v>502</v>
      </c>
      <c r="B12" s="1" t="str">
        <f>_xlfn.XLOOKUP(Table4[[#This Row],[Account No]],Table2[Account No],Table2[Account Name],"Not Found")</f>
        <v>Office Supplies Expenses</v>
      </c>
      <c r="C12" s="1" t="str">
        <f>_xlfn.XLOOKUP(Table4[[#This Row],[Account No]],Table2[Account No],Table2[Account Type],"Not Found")</f>
        <v>Expense</v>
      </c>
      <c r="D12" s="4">
        <f>SUMIFS(Journal!E:E,Journal!C:C,Table4[[#This Row],[Account Name]])</f>
        <v>300</v>
      </c>
      <c r="E12" s="4">
        <f>SUMIFS(Journal!F:F,Journal!C:C,Table4[[#This Row],[Account Name]])</f>
        <v>0</v>
      </c>
      <c r="F12" s="4">
        <f t="shared" si="0"/>
        <v>300</v>
      </c>
    </row>
    <row r="13" spans="1:6" x14ac:dyDescent="0.3">
      <c r="A13" s="1">
        <v>503</v>
      </c>
      <c r="B13" s="1" t="str">
        <f>_xlfn.XLOOKUP(Table4[[#This Row],[Account No]],Table2[Account No],Table2[Account Name],"Not Found")</f>
        <v>Salaries Expense</v>
      </c>
      <c r="C13" s="1" t="str">
        <f>_xlfn.XLOOKUP(Table4[[#This Row],[Account No]],Table2[Account No],Table2[Account Type],"Not Found")</f>
        <v>Expense</v>
      </c>
      <c r="D13" s="4">
        <f>SUMIFS(Journal!E:E,Journal!C:C,Table4[[#This Row],[Account Name]])</f>
        <v>1800</v>
      </c>
      <c r="E13" s="4">
        <f>SUMIFS(Journal!F:F,Journal!C:C,Table4[[#This Row],[Account Name]])</f>
        <v>0</v>
      </c>
      <c r="F13" s="4">
        <f t="shared" si="0"/>
        <v>1800</v>
      </c>
    </row>
    <row r="14" spans="1:6" x14ac:dyDescent="0.3">
      <c r="A14" s="1">
        <v>504</v>
      </c>
      <c r="B14" s="1" t="str">
        <f>_xlfn.XLOOKUP(Table4[[#This Row],[Account No]],Table2[Account No],Table2[Account Name],"Not Found")</f>
        <v>Insurance Expense</v>
      </c>
      <c r="C14" s="1" t="str">
        <f>_xlfn.XLOOKUP(Table4[[#This Row],[Account No]],Table2[Account No],Table2[Account Type],"Not Found")</f>
        <v>Expense</v>
      </c>
      <c r="D14" s="4">
        <f>SUMIFS(Journal!E:E,Journal!C:C,Table4[[#This Row],[Account Name]])</f>
        <v>100</v>
      </c>
      <c r="E14" s="4">
        <f>SUMIFS(Journal!F:F,Journal!C:C,Table4[[#This Row],[Account Name]])</f>
        <v>0</v>
      </c>
      <c r="F14" s="4">
        <f t="shared" si="0"/>
        <v>100</v>
      </c>
    </row>
    <row r="15" spans="1:6" x14ac:dyDescent="0.3">
      <c r="D15" s="4"/>
      <c r="E15" s="4"/>
      <c r="F1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7DC5-4B98-4063-82DD-C3DEF39D3FAF}">
  <dimension ref="A1:D16"/>
  <sheetViews>
    <sheetView workbookViewId="0">
      <selection activeCell="F8" sqref="F8"/>
    </sheetView>
  </sheetViews>
  <sheetFormatPr defaultRowHeight="14.4" x14ac:dyDescent="0.3"/>
  <cols>
    <col min="1" max="1" width="10.33203125" style="1" customWidth="1"/>
    <col min="2" max="2" width="21.109375" style="1" bestFit="1" customWidth="1"/>
    <col min="3" max="4" width="11.21875" style="4" bestFit="1" customWidth="1"/>
    <col min="5" max="5" width="8.88671875" style="1"/>
    <col min="6" max="6" width="11.33203125" style="1" customWidth="1"/>
    <col min="7" max="7" width="22.109375" style="1" bestFit="1" customWidth="1"/>
    <col min="8" max="8" width="8.88671875" style="1" bestFit="1" customWidth="1"/>
    <col min="9" max="16384" width="8.88671875" style="1"/>
  </cols>
  <sheetData>
    <row r="1" spans="1:4" x14ac:dyDescent="0.3">
      <c r="A1" s="1" t="s">
        <v>8</v>
      </c>
      <c r="B1" s="1" t="s">
        <v>28</v>
      </c>
      <c r="C1" s="4" t="s">
        <v>4</v>
      </c>
      <c r="D1" s="4" t="s">
        <v>5</v>
      </c>
    </row>
    <row r="2" spans="1:4" x14ac:dyDescent="0.3">
      <c r="A2" s="1">
        <v>101</v>
      </c>
      <c r="B2" s="1" t="str">
        <f>_xlfn.XLOOKUP(Table5[[#This Row],[Account No]],Table4[Account No],Table4[Account Name],"Not Found")</f>
        <v>Cash</v>
      </c>
      <c r="C2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12500</v>
      </c>
      <c r="D2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3" spans="1:4" x14ac:dyDescent="0.3">
      <c r="A3" s="1">
        <v>102</v>
      </c>
      <c r="B3" s="1" t="str">
        <f>_xlfn.XLOOKUP(Table5[[#This Row],[Account No]],Table4[Account No],Table4[Account Name],"Not Found")</f>
        <v>Accounts Receivable</v>
      </c>
      <c r="C3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1500</v>
      </c>
      <c r="D3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4" spans="1:4" x14ac:dyDescent="0.3">
      <c r="A4" s="1">
        <v>103</v>
      </c>
      <c r="B4" s="1" t="str">
        <f>_xlfn.XLOOKUP(Table5[[#This Row],[Account No]],Table4[Account No],Table4[Account Name],"Not Found")</f>
        <v>Prepaid Insurance</v>
      </c>
      <c r="C4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1100</v>
      </c>
      <c r="D4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5" spans="1:4" x14ac:dyDescent="0.3">
      <c r="A5" s="1">
        <v>104</v>
      </c>
      <c r="B5" s="1" t="str">
        <f>_xlfn.XLOOKUP(Table5[[#This Row],[Account No]],Table4[Account No],Table4[Account Name],"Not Found")</f>
        <v>Office Equipments</v>
      </c>
      <c r="C5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3500</v>
      </c>
      <c r="D5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6" spans="1:4" x14ac:dyDescent="0.3">
      <c r="A6" s="1">
        <v>201</v>
      </c>
      <c r="B6" s="1" t="str">
        <f>_xlfn.XLOOKUP(Table5[[#This Row],[Account No]],Table4[Account No],Table4[Account Name],"Not Found")</f>
        <v>Accounts Payable</v>
      </c>
      <c r="C6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0</v>
      </c>
      <c r="D6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2500</v>
      </c>
    </row>
    <row r="7" spans="1:4" x14ac:dyDescent="0.3">
      <c r="A7" s="1">
        <v>202</v>
      </c>
      <c r="B7" s="1" t="str">
        <f>_xlfn.XLOOKUP(Table5[[#This Row],[Account No]],Table4[Account No],Table4[Account Name],"Not Found")</f>
        <v>Salaries Payable</v>
      </c>
      <c r="C7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0</v>
      </c>
      <c r="D7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8" spans="1:4" x14ac:dyDescent="0.3">
      <c r="A8" s="1">
        <v>203</v>
      </c>
      <c r="B8" s="1" t="str">
        <f>_xlfn.XLOOKUP(Table5[[#This Row],[Account No]],Table4[Account No],Table4[Account Name],"Not Found")</f>
        <v>Unearned Revenue</v>
      </c>
      <c r="C8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0</v>
      </c>
      <c r="D8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2000</v>
      </c>
    </row>
    <row r="9" spans="1:4" x14ac:dyDescent="0.3">
      <c r="A9" s="1">
        <v>301</v>
      </c>
      <c r="B9" s="1" t="str">
        <f>_xlfn.XLOOKUP(Table5[[#This Row],[Account No]],Table4[Account No],Table4[Account Name],"Not Found")</f>
        <v>Owner's Capital</v>
      </c>
      <c r="C9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0</v>
      </c>
      <c r="D9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10000</v>
      </c>
    </row>
    <row r="10" spans="1:4" x14ac:dyDescent="0.3">
      <c r="A10" s="1">
        <v>401</v>
      </c>
      <c r="B10" s="1" t="str">
        <f>_xlfn.XLOOKUP(Table5[[#This Row],[Account No]],Table4[Account No],Table4[Account Name],"Not Found")</f>
        <v>Service Revenue</v>
      </c>
      <c r="C10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0</v>
      </c>
      <c r="D10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7500</v>
      </c>
    </row>
    <row r="11" spans="1:4" x14ac:dyDescent="0.3">
      <c r="A11" s="1">
        <v>501</v>
      </c>
      <c r="B11" s="1" t="str">
        <f>_xlfn.XLOOKUP(Table5[[#This Row],[Account No]],Table4[Account No],Table4[Account Name],"Not Found")</f>
        <v>Rent Expense</v>
      </c>
      <c r="C11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1200</v>
      </c>
      <c r="D11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12" spans="1:4" x14ac:dyDescent="0.3">
      <c r="A12" s="1">
        <v>502</v>
      </c>
      <c r="B12" s="1" t="str">
        <f>_xlfn.XLOOKUP(Table5[[#This Row],[Account No]],Table4[Account No],Table4[Account Name],"Not Found")</f>
        <v>Office Supplies Expenses</v>
      </c>
      <c r="C12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300</v>
      </c>
      <c r="D12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13" spans="1:4" x14ac:dyDescent="0.3">
      <c r="A13" s="1">
        <v>503</v>
      </c>
      <c r="B13" s="1" t="str">
        <f>_xlfn.XLOOKUP(Table5[[#This Row],[Account No]],Table4[Account No],Table4[Account Name],"Not Found")</f>
        <v>Salaries Expense</v>
      </c>
      <c r="C13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1800</v>
      </c>
      <c r="D13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14" spans="1:4" x14ac:dyDescent="0.3">
      <c r="A14" s="1">
        <v>504</v>
      </c>
      <c r="B14" s="1" t="str">
        <f>_xlfn.XLOOKUP(Table5[[#This Row],[Account No]],Table4[Account No],Table4[Account Name],"Not Found")</f>
        <v>Insurance Expense</v>
      </c>
      <c r="C14" s="4">
        <f>IF(OR(_xlfn.XLOOKUP(Table5[[#This Row],[Account Name ]],'General Ledger'!B:B,'General Ledger'!C:C)="Assets", _xlfn.XLOOKUP(Table5[[#This Row],[Account Name ]],'General Ledger'!B:B,'General Ledger'!C:C)="Expense"),_xlfn.XLOOKUP(Table5[[#This Row],[Account Name ]],'General Ledger'!B:B,'General Ledger'!F:F), 0)</f>
        <v>100</v>
      </c>
      <c r="D14" s="4">
        <f>IF(OR(_xlfn.XLOOKUP(Table5[[#This Row],[Account Name ]],'General Ledger'!B:B,'General Ledger'!C:C)="Liability", _xlfn.XLOOKUP(Table5[[#This Row],[Account Name ]],'General Ledger'!B:B,'General Ledger'!C:C)="Equity",_xlfn.XLOOKUP(Table5[[#This Row],[Account Name ]],'General Ledger'!B:B,'General Ledger'!C:C)="Revenue"), _xlfn.XLOOKUP(Table5[[#This Row],[Account Name ]],'General Ledger'!B:B,'General Ledger'!F:F),0)</f>
        <v>0</v>
      </c>
    </row>
    <row r="15" spans="1:4" x14ac:dyDescent="0.3">
      <c r="A15" s="6" t="s">
        <v>44</v>
      </c>
      <c r="C15" s="4">
        <f>SUM(C2:C14)</f>
        <v>22000</v>
      </c>
      <c r="D15" s="4">
        <f>SUM(D2:D14)</f>
        <v>22000</v>
      </c>
    </row>
    <row r="16" spans="1:4" x14ac:dyDescent="0.3">
      <c r="C16" s="1"/>
      <c r="D1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CF38-E77D-401A-8EBE-8A621E8ED1DB}">
  <dimension ref="A1:B16"/>
  <sheetViews>
    <sheetView workbookViewId="0">
      <selection activeCell="F7" sqref="F7"/>
    </sheetView>
  </sheetViews>
  <sheetFormatPr defaultRowHeight="14.4" x14ac:dyDescent="0.3"/>
  <cols>
    <col min="1" max="1" width="22.109375" customWidth="1"/>
    <col min="2" max="2" width="10.21875" style="2" bestFit="1" customWidth="1"/>
    <col min="7" max="7" width="22.21875" customWidth="1"/>
    <col min="8" max="8" width="10.6640625" bestFit="1" customWidth="1"/>
  </cols>
  <sheetData>
    <row r="1" spans="1:2" x14ac:dyDescent="0.3">
      <c r="A1" s="7" t="s">
        <v>51</v>
      </c>
      <c r="B1" s="8"/>
    </row>
    <row r="2" spans="1:2" x14ac:dyDescent="0.3">
      <c r="A2" t="s">
        <v>45</v>
      </c>
      <c r="B2" s="2" t="s">
        <v>58</v>
      </c>
    </row>
    <row r="3" spans="1:2" x14ac:dyDescent="0.3">
      <c r="A3" s="1" t="s">
        <v>47</v>
      </c>
    </row>
    <row r="4" spans="1:2" x14ac:dyDescent="0.3">
      <c r="A4" t="s">
        <v>19</v>
      </c>
      <c r="B4" s="4">
        <f>'Trial Balance'!D10</f>
        <v>7500</v>
      </c>
    </row>
    <row r="5" spans="1:2" x14ac:dyDescent="0.3">
      <c r="A5" s="1"/>
      <c r="B5" s="4"/>
    </row>
    <row r="6" spans="1:2" x14ac:dyDescent="0.3">
      <c r="A6" t="s">
        <v>46</v>
      </c>
      <c r="B6" s="4">
        <f>SUM(B4)</f>
        <v>7500</v>
      </c>
    </row>
    <row r="7" spans="1:2" x14ac:dyDescent="0.3">
      <c r="A7" s="1"/>
      <c r="B7" s="4"/>
    </row>
    <row r="8" spans="1:2" x14ac:dyDescent="0.3">
      <c r="A8" s="1" t="s">
        <v>48</v>
      </c>
      <c r="B8" s="4"/>
    </row>
    <row r="9" spans="1:2" x14ac:dyDescent="0.3">
      <c r="A9" t="s">
        <v>22</v>
      </c>
      <c r="B9" s="4">
        <f>'Trial Balance'!C11</f>
        <v>1200</v>
      </c>
    </row>
    <row r="10" spans="1:2" x14ac:dyDescent="0.3">
      <c r="A10" t="str">
        <f>'Trial Balance'!B12</f>
        <v>Office Supplies Expenses</v>
      </c>
      <c r="B10" s="4">
        <f>'Trial Balance'!C12</f>
        <v>300</v>
      </c>
    </row>
    <row r="11" spans="1:2" x14ac:dyDescent="0.3">
      <c r="A11" t="str">
        <f>'Trial Balance'!B13</f>
        <v>Salaries Expense</v>
      </c>
      <c r="B11" s="4">
        <f>'Trial Balance'!C13</f>
        <v>1800</v>
      </c>
    </row>
    <row r="12" spans="1:2" x14ac:dyDescent="0.3">
      <c r="A12" t="str">
        <f>'Trial Balance'!B14</f>
        <v>Insurance Expense</v>
      </c>
      <c r="B12" s="4">
        <f>'Trial Balance'!C14</f>
        <v>100</v>
      </c>
    </row>
    <row r="13" spans="1:2" x14ac:dyDescent="0.3">
      <c r="A13" s="1"/>
      <c r="B13" s="4"/>
    </row>
    <row r="14" spans="1:2" x14ac:dyDescent="0.3">
      <c r="A14" s="1" t="s">
        <v>49</v>
      </c>
      <c r="B14" s="4">
        <f>SUM(B9:B12)</f>
        <v>3400</v>
      </c>
    </row>
    <row r="15" spans="1:2" x14ac:dyDescent="0.3">
      <c r="A15" s="1"/>
      <c r="B15" s="4"/>
    </row>
    <row r="16" spans="1:2" x14ac:dyDescent="0.3">
      <c r="A16" s="1" t="s">
        <v>50</v>
      </c>
      <c r="B16" s="4">
        <f>B6-B14</f>
        <v>4100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52EA-FE1B-42C7-A783-A91611FCF21E}">
  <dimension ref="A1:B20"/>
  <sheetViews>
    <sheetView tabSelected="1" workbookViewId="0">
      <selection activeCell="D17" sqref="D17"/>
    </sheetView>
  </sheetViews>
  <sheetFormatPr defaultRowHeight="14.4" x14ac:dyDescent="0.3"/>
  <cols>
    <col min="1" max="1" width="22.109375" customWidth="1"/>
    <col min="2" max="2" width="11.21875" style="2" bestFit="1" customWidth="1"/>
    <col min="7" max="7" width="28.77734375" bestFit="1" customWidth="1"/>
    <col min="8" max="8" width="10.6640625" bestFit="1" customWidth="1"/>
  </cols>
  <sheetData>
    <row r="1" spans="1:2" x14ac:dyDescent="0.3">
      <c r="A1" s="12" t="s">
        <v>52</v>
      </c>
      <c r="B1" s="9"/>
    </row>
    <row r="2" spans="1:2" x14ac:dyDescent="0.3">
      <c r="A2" t="s">
        <v>9</v>
      </c>
      <c r="B2" s="2" t="s">
        <v>58</v>
      </c>
    </row>
    <row r="3" spans="1:2" x14ac:dyDescent="0.3">
      <c r="A3" t="str">
        <f>'Trial Balance'!B2</f>
        <v>Cash</v>
      </c>
      <c r="B3" s="4">
        <f>'Trial Balance'!C2</f>
        <v>12500</v>
      </c>
    </row>
    <row r="4" spans="1:2" x14ac:dyDescent="0.3">
      <c r="A4" t="str">
        <f>'Trial Balance'!B3</f>
        <v>Accounts Receivable</v>
      </c>
      <c r="B4" s="4">
        <f>'Trial Balance'!C3</f>
        <v>1500</v>
      </c>
    </row>
    <row r="5" spans="1:2" x14ac:dyDescent="0.3">
      <c r="A5" t="str">
        <f>'Trial Balance'!B4</f>
        <v>Prepaid Insurance</v>
      </c>
      <c r="B5" s="4">
        <f>'Trial Balance'!C4</f>
        <v>1100</v>
      </c>
    </row>
    <row r="6" spans="1:2" x14ac:dyDescent="0.3">
      <c r="A6" t="str">
        <f>'Trial Balance'!B5</f>
        <v>Office Equipments</v>
      </c>
      <c r="B6" s="4">
        <f>'Trial Balance'!C5</f>
        <v>3500</v>
      </c>
    </row>
    <row r="7" spans="1:2" x14ac:dyDescent="0.3">
      <c r="A7" s="1" t="s">
        <v>53</v>
      </c>
      <c r="B7" s="4">
        <f>SUM(B3:B6)</f>
        <v>18600</v>
      </c>
    </row>
    <row r="8" spans="1:2" x14ac:dyDescent="0.3">
      <c r="A8" s="1" t="s">
        <v>12</v>
      </c>
      <c r="B8" s="4"/>
    </row>
    <row r="9" spans="1:2" x14ac:dyDescent="0.3">
      <c r="A9" t="str">
        <f>'Trial Balance'!B6</f>
        <v>Accounts Payable</v>
      </c>
      <c r="B9" s="4">
        <f>'Trial Balance'!D6</f>
        <v>2500</v>
      </c>
    </row>
    <row r="10" spans="1:2" x14ac:dyDescent="0.3">
      <c r="A10" t="str">
        <f>'Trial Balance'!B7</f>
        <v>Salaries Payable</v>
      </c>
      <c r="B10" s="4">
        <v>0</v>
      </c>
    </row>
    <row r="11" spans="1:2" x14ac:dyDescent="0.3">
      <c r="A11" t="str">
        <f>'Trial Balance'!B8</f>
        <v>Unearned Revenue</v>
      </c>
      <c r="B11" s="4">
        <f>'Trial Balance'!D8</f>
        <v>2000</v>
      </c>
    </row>
    <row r="12" spans="1:2" x14ac:dyDescent="0.3">
      <c r="A12" s="1" t="s">
        <v>54</v>
      </c>
      <c r="B12" s="4">
        <f>SUM(B9:B11)</f>
        <v>4500</v>
      </c>
    </row>
    <row r="13" spans="1:2" x14ac:dyDescent="0.3">
      <c r="A13" s="1" t="s">
        <v>16</v>
      </c>
      <c r="B13" s="4"/>
    </row>
    <row r="14" spans="1:2" x14ac:dyDescent="0.3">
      <c r="A14" t="str">
        <f>'Trial Balance'!B9</f>
        <v>Owner's Capital</v>
      </c>
      <c r="B14" s="4">
        <f>'Trial Balance'!D9</f>
        <v>10000</v>
      </c>
    </row>
    <row r="15" spans="1:2" x14ac:dyDescent="0.3">
      <c r="A15" t="s">
        <v>56</v>
      </c>
      <c r="B15" s="4">
        <f>'Income Statement'!B16</f>
        <v>4100</v>
      </c>
    </row>
    <row r="16" spans="1:2" x14ac:dyDescent="0.3">
      <c r="A16" s="1" t="s">
        <v>55</v>
      </c>
      <c r="B16" s="4">
        <f>SUM(B14:B15)</f>
        <v>14100</v>
      </c>
    </row>
    <row r="17" spans="1:2" x14ac:dyDescent="0.3">
      <c r="B17" s="4"/>
    </row>
    <row r="18" spans="1:2" x14ac:dyDescent="0.3">
      <c r="A18" s="1" t="s">
        <v>57</v>
      </c>
      <c r="B18" s="4">
        <f>SUM(B12,B16)</f>
        <v>18600</v>
      </c>
    </row>
    <row r="20" spans="1:2" x14ac:dyDescent="0.3">
      <c r="A20" s="11" t="str">
        <f>IF(B7 =B18, "BALANCE SHEET BALANCED", "ERROR: UNBALANCED")</f>
        <v>BALANCE SHEET BALANCED</v>
      </c>
      <c r="B20" s="10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or Accounts</vt:lpstr>
      <vt:lpstr>Journal</vt:lpstr>
      <vt:lpstr>General Ledger</vt:lpstr>
      <vt:lpstr>Trial Balance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bassim omar</dc:creator>
  <cp:lastModifiedBy>bassim omar</cp:lastModifiedBy>
  <dcterms:created xsi:type="dcterms:W3CDTF">2026-07-31T16:02:25Z</dcterms:created>
  <dcterms:modified xsi:type="dcterms:W3CDTF">2026-07-31T20:28:41Z</dcterms:modified>
</cp:coreProperties>
</file>